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Collection, Analysis and Findings\"/>
    </mc:Choice>
  </mc:AlternateContent>
  <bookViews>
    <workbookView xWindow="-120" yWindow="-120" windowWidth="29040" windowHeight="16440" activeTab="1"/>
  </bookViews>
  <sheets>
    <sheet name="Raw_Data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C3" i="2"/>
  <c r="D4" i="2"/>
  <c r="C4" i="2"/>
  <c r="B4" i="2"/>
  <c r="B3" i="2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  <c r="C2" i="2" l="1"/>
  <c r="D2" i="2"/>
  <c r="B2" i="2"/>
</calcChain>
</file>

<file path=xl/sharedStrings.xml><?xml version="1.0" encoding="utf-8"?>
<sst xmlns="http://schemas.openxmlformats.org/spreadsheetml/2006/main" count="195" uniqueCount="108">
  <si>
    <t>task_id</t>
  </si>
  <si>
    <t>tool</t>
  </si>
  <si>
    <t>additions</t>
  </si>
  <si>
    <t>deletions</t>
  </si>
  <si>
    <t>modifications</t>
  </si>
  <si>
    <t>total_lines</t>
  </si>
  <si>
    <t>notes</t>
  </si>
  <si>
    <t>E1</t>
  </si>
  <si>
    <t>ChatGPT</t>
  </si>
  <si>
    <t>Wrapper added for Step 5 profiling only.</t>
  </si>
  <si>
    <t>E2</t>
  </si>
  <si>
    <t>Added wrapper for Step 5 profiling; function logic unchanged</t>
  </si>
  <si>
    <t>E3</t>
  </si>
  <si>
    <t>E4</t>
  </si>
  <si>
    <t>Added wrapper + list conversion to allow execution for Step 5 profiling</t>
  </si>
  <si>
    <t>E5</t>
  </si>
  <si>
    <t>Corrected indentation; added wrapper for Step 5 profiling</t>
  </si>
  <si>
    <t>M1</t>
  </si>
  <si>
    <t>Added wrapper and test cases for Step 5; original logic unchanged</t>
  </si>
  <si>
    <t>M2</t>
  </si>
  <si>
    <t>Added wrapper, helper functions, indentation fix for Step 5 execution.</t>
  </si>
  <si>
    <t>M3</t>
  </si>
  <si>
    <t>Added wrapper, example tree builder; original logic untouched.</t>
  </si>
  <si>
    <t>M4</t>
  </si>
  <si>
    <t>Added wrapper, test case; original algorithm logic untouched</t>
  </si>
  <si>
    <t>M5</t>
  </si>
  <si>
    <t>Added wrapper, test cases; original algorithm logic untouched</t>
  </si>
  <si>
    <t>H1</t>
  </si>
  <si>
    <t>Added wrapper and test input; original logic untouched</t>
  </si>
  <si>
    <t>H2</t>
  </si>
  <si>
    <t>H3</t>
  </si>
  <si>
    <t>H4</t>
  </si>
  <si>
    <t>H5</t>
  </si>
  <si>
    <t>A1</t>
  </si>
  <si>
    <t>Added wrapper and example tree; original logic untouched</t>
  </si>
  <si>
    <t>A2</t>
  </si>
  <si>
    <t>Added wrapper and example operations; original logic untouched</t>
  </si>
  <si>
    <t>A3</t>
  </si>
  <si>
    <t>Added wrapper and example board/words</t>
  </si>
  <si>
    <t>A4</t>
  </si>
  <si>
    <t>Added wrapper and example graph/print</t>
  </si>
  <si>
    <t>A5</t>
  </si>
  <si>
    <t>Added wrapper + return final buffer</t>
  </si>
  <si>
    <t>Standalone solve wrapper added to enable execution; deserialize parsing simplified.</t>
  </si>
  <si>
    <t>Standalone solve wrapper added for execution; defensive checks and capacity handling simplified.</t>
  </si>
  <si>
    <t>Standalone solve wrapper added for execution; minor type hint adjustment; algorithm unchanged.</t>
  </si>
  <si>
    <t>Standalone solve wrapper added; print/logging removed for efficiency; core logic preserved.</t>
  </si>
  <si>
    <t>Copilot</t>
  </si>
  <si>
    <r>
      <t xml:space="preserve">Wrapped logic in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for standalone execution; fixed SyntaxError from top-level </t>
    </r>
    <r>
      <rPr>
        <sz val="10"/>
        <color theme="1"/>
        <rFont val="Arial Unicode MS"/>
      </rPr>
      <t>return</t>
    </r>
    <r>
      <rPr>
        <sz val="11"/>
        <color theme="1"/>
        <rFont val="Calibri"/>
        <family val="2"/>
        <scheme val="minor"/>
      </rPr>
      <t>; default test input added; core two-sum logic preserved.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</si>
  <si>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preserved original parentheses validation logic; default test string included.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</si>
  <si>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default test input included; palindrome logic preserved.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</si>
  <si>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default input lists included; merge logic preserved.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</si>
  <si>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default prices list included; max-profit logic preserved.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</si>
  <si>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default lists; median-of-two-sorted-arrays logic preserved; ensured correct handling for odd/even combined lengths.</t>
    </r>
  </si>
  <si>
    <r>
      <t xml:space="preserve">Added </t>
    </r>
    <r>
      <rPr>
        <sz val="10"/>
        <color theme="1"/>
        <rFont val="Arial Unicode MS"/>
      </rPr>
      <t>solve_wrapper()</t>
    </r>
    <r>
      <rPr>
        <sz val="11"/>
        <color theme="1"/>
        <rFont val="Calibri"/>
        <family val="2"/>
        <scheme val="minor"/>
      </rPr>
      <t xml:space="preserve"> for standalone execution; default list of lists included; </t>
    </r>
    <r>
      <rPr>
        <sz val="10"/>
        <color theme="1"/>
        <rFont val="Arial Unicode MS"/>
      </rPr>
      <t>merge_k_lists</t>
    </r>
    <r>
      <rPr>
        <sz val="11"/>
        <color theme="1"/>
        <rFont val="Calibri"/>
        <family val="2"/>
        <scheme val="minor"/>
      </rPr>
      <t xml:space="preserve"> logic preserved using min-heap with counter for tie-breaking.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</si>
  <si>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default input list-of-lists included; </t>
    </r>
    <r>
      <rPr>
        <sz val="10"/>
        <color theme="1"/>
        <rFont val="Arial Unicode MS"/>
      </rPr>
      <t>merge_k_lists</t>
    </r>
    <r>
      <rPr>
        <sz val="11"/>
        <color theme="1"/>
        <rFont val="Calibri"/>
        <family val="2"/>
        <scheme val="minor"/>
      </rPr>
      <t xml:space="preserve"> logic preserved using min-heap with counter for tie-breaking.</t>
    </r>
  </si>
  <si>
    <r>
      <t xml:space="preserve">Added </t>
    </r>
    <r>
      <rPr>
        <sz val="10"/>
        <color theme="1"/>
        <rFont val="Arial Unicode MS"/>
      </rPr>
      <t>solve_n_queens()</t>
    </r>
    <r>
      <rPr>
        <sz val="11"/>
        <color theme="1"/>
        <rFont val="Calibri"/>
        <family val="2"/>
        <scheme val="minor"/>
      </rPr>
      <t xml:space="preserve"> wrapper for standalone execution; default </t>
    </r>
    <r>
      <rPr>
        <sz val="10"/>
        <color theme="1"/>
        <rFont val="Arial Unicode MS"/>
      </rPr>
      <t>n=4</t>
    </r>
    <r>
      <rPr>
        <sz val="11"/>
        <color theme="1"/>
        <rFont val="Calibri"/>
        <family val="2"/>
        <scheme val="minor"/>
      </rPr>
      <t xml:space="preserve"> test input included; backtracking N-Queens logic preserved; output formatted as list of board strings.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</si>
  <si>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standalone execution; default test string included; longest valid parentheses logic preserved; benchmark-ready.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</si>
  <si>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multiple test cases and profiling; preserved original longest substring logic; ready for benchmarking and performance testing.</t>
    </r>
  </si>
  <si>
    <r>
      <t xml:space="preserve">Fixed indentation errors to make the code runnable; 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multiple test cases and profiling; preserved original linked-list addition logic; ready for performance benchmarking.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</si>
  <si>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multiple test cases and profiling; preserved tree parsing, building, and level-order logic; fixed minor parsing edge cases for </t>
    </r>
    <r>
      <rPr>
        <sz val="10"/>
        <color theme="1"/>
        <rFont val="Arial Unicode MS"/>
      </rPr>
      <t>None/null</t>
    </r>
    <r>
      <rPr>
        <sz val="11"/>
        <color theme="1"/>
        <rFont val="Calibri"/>
        <family val="2"/>
        <scheme val="minor"/>
      </rPr>
      <t>; ready for performance benchmarking.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</si>
  <si>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multiple test cases and profiling; used </t>
    </r>
    <r>
      <rPr>
        <sz val="10"/>
        <color theme="1"/>
        <rFont val="Arial Unicode MS"/>
      </rPr>
      <t>defaultdict</t>
    </r>
    <r>
      <rPr>
        <sz val="11"/>
        <color theme="1"/>
        <rFont val="Calibri"/>
        <family val="2"/>
        <scheme val="minor"/>
      </rPr>
      <t xml:space="preserve"> for grouping anagrams; preserved original parsing and grouping logic; ready for performance benchmarking.</t>
    </r>
  </si>
  <si>
    <r>
      <t xml:space="preserve">Added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with multiple test cases and optional input; implemented robust parsing of list and k values; preserved original kth-largest logic; ready for profiling and benchmarking.</t>
    </r>
  </si>
  <si>
    <t>A1_Gemini</t>
  </si>
  <si>
    <t>Gemini</t>
  </si>
  <si>
    <r>
      <t xml:space="preserve">Preserved original serialize/deserialize logic for binary trees using BFS; added unified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for profiling; included simple test trees for verification; handles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nodes with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 marker.</t>
    </r>
  </si>
  <si>
    <t>A2_Gemini</t>
  </si>
  <si>
    <r>
      <t xml:space="preserve">Preserved original LRUCache implementation using doubly linked list + hash map; added uniform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to simulate cache operations and demonstrate MRU/LRU updates.</t>
    </r>
  </si>
  <si>
    <t>A3_Gemini</t>
  </si>
  <si>
    <r>
      <t xml:space="preserve">Preserved original Trie + DFS word search implementation; added </t>
    </r>
    <r>
      <rPr>
        <sz val="10"/>
        <color theme="1"/>
        <rFont val="Arial Unicode MS"/>
      </rPr>
      <t>word_search_solver</t>
    </r>
    <r>
      <rPr>
        <sz val="11"/>
        <color theme="1"/>
        <rFont val="Calibri"/>
        <family val="2"/>
        <scheme val="minor"/>
      </rPr>
      <t xml:space="preserve"> wrapper and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function for uniform testing and optional profiling.</t>
    </r>
  </si>
  <si>
    <t>A4_Gemini</t>
  </si>
  <si>
    <r>
      <t xml:space="preserve">Preserved original Dijkstra implementation; added </t>
    </r>
    <r>
      <rPr>
        <sz val="10"/>
        <color theme="1"/>
        <rFont val="Arial Unicode MS"/>
      </rPr>
      <t>dijkstra_solver</t>
    </r>
    <r>
      <rPr>
        <sz val="11"/>
        <color theme="1"/>
        <rFont val="Calibri"/>
        <family val="2"/>
        <scheme val="minor"/>
      </rPr>
      <t xml:space="preserve"> wrapper and uniform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function for testing, profiling, and standard output.</t>
    </r>
  </si>
  <si>
    <t>A5_Gemini</t>
  </si>
  <si>
    <r>
      <t xml:space="preserve">Preserved original condition-based producer-consumer logic; added threading-safe bounded buffer; unified </t>
    </r>
    <r>
      <rPr>
        <sz val="10"/>
        <color theme="1"/>
        <rFont val="Arial Unicode MS"/>
      </rPr>
      <t>solve()</t>
    </r>
    <r>
      <rPr>
        <sz val="11"/>
        <color theme="1"/>
        <rFont val="Calibri"/>
        <family val="2"/>
        <scheme val="minor"/>
      </rPr>
      <t xml:space="preserve"> wrapper returns total items consumed; profiling-ready structure included.</t>
    </r>
  </si>
  <si>
    <t>E1_Gemini</t>
  </si>
  <si>
    <t>Preserved original Two Sum logic; added default parameter handling; included profiling and timeit wrapper; prints outputs for test cases.</t>
  </si>
  <si>
    <t>E2_Gemini</t>
  </si>
  <si>
    <t>Preserved original valid parentheses logic; added default parameter handling; included profiling and timeit wrapper; prints outputs for multiple test cases; handled indentation issues stuff</t>
  </si>
  <si>
    <t>E3_Gemini</t>
  </si>
  <si>
    <t>Preserved original palindrome number logic; added default parameter handling; included profiling and timeit wrapper; prints outputs for multiple test cases.</t>
  </si>
  <si>
    <t>E4_Gemini</t>
  </si>
  <si>
    <t>Preserved original merge two sorted lists logic; added default test linked lists; included profiling and timeit wrapper; prints merged results for multiple test cases.</t>
  </si>
  <si>
    <t>E5_Gemini</t>
  </si>
  <si>
    <r>
      <t xml:space="preserve">Preserved original "best time to buy and sell stock" logic; added default test cases; included </t>
    </r>
    <r>
      <rPr>
        <sz val="10"/>
        <color theme="1"/>
        <rFont val="Arial Unicode MS"/>
      </rPr>
      <t>timeit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cProfile</t>
    </r>
    <r>
      <rPr>
        <sz val="11"/>
        <color theme="1"/>
        <rFont val="Calibri"/>
        <family val="2"/>
        <scheme val="minor"/>
      </rPr>
      <t xml:space="preserve"> profiling; prints maximum profit for multiple test cases.</t>
    </r>
  </si>
  <si>
    <t>H1_Gemini</t>
  </si>
  <si>
    <t>Preserved original binary search logic for finding median of two sorted arrays; added wrapper for multiple test cases; included profiling and timeit execution; prints results clearly with median values for each case.</t>
  </si>
  <si>
    <t>H2_Gemini</t>
  </si>
  <si>
    <t>Preserved original k-way merge logic using min-heap for linked lists; added wrapper for test case conversion between list and ListNode; included profiling and timeit execution; prints me_</t>
  </si>
  <si>
    <t>H3_Gemini</t>
  </si>
  <si>
    <t>Preserved original BFS-based word ladder logic; added wrapper for single test case; included profiling and timeit benchmarking; prints the shortest transformation sequence length for a sample word list.</t>
  </si>
  <si>
    <t>H4_Gemini</t>
  </si>
  <si>
    <t>Preserved original stack-based longest valid parentheses logic; added wrapper for single test case; included profiling and timeit benchmarking; prints the length of the longest valid parentheses substring.</t>
  </si>
  <si>
    <t>H5_Gemini</t>
  </si>
  <si>
    <t>M1_Gemini</t>
  </si>
  <si>
    <t>Preserved original sliding-window logic for longest substring without repeating characters; added wrapper to run multiple test cases; included profiling and timeit benchmarking; prints outputs for each test case.</t>
  </si>
  <si>
    <t>M2_Gemini</t>
  </si>
  <si>
    <r>
      <t xml:space="preserve">Preserved original linked-list addition logic; refactored function to </t>
    </r>
    <r>
      <rPr>
        <sz val="10"/>
        <color theme="1"/>
        <rFont val="Arial Unicode MS"/>
      </rPr>
      <t>add_two_numbers</t>
    </r>
    <r>
      <rPr>
        <sz val="11"/>
        <color theme="1"/>
        <rFont val="Calibri"/>
        <family val="2"/>
        <scheme val="minor"/>
      </rPr>
      <t>; included helper functions for list↔linked-list conversion; added default wrapper for benchmarking and profiling; prints test outputs.</t>
    </r>
  </si>
  <si>
    <t>M3_Gemini</t>
  </si>
  <si>
    <r>
      <t>Preserved original BFS level-order logic; refactored function names (</t>
    </r>
    <r>
      <rPr>
        <sz val="10"/>
        <color theme="1"/>
        <rFont val="Arial Unicode MS"/>
      </rPr>
      <t>level_order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create_tree</t>
    </r>
    <r>
      <rPr>
        <sz val="11"/>
        <color theme="1"/>
        <rFont val="Calibri"/>
        <family val="2"/>
        <scheme val="minor"/>
      </rPr>
      <t xml:space="preserve">); included default wrapper for benchmarking; handles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values in tree construction; prints test outputs for verification.</t>
    </r>
  </si>
  <si>
    <t>M4_Gemini</t>
  </si>
  <si>
    <r>
      <t xml:space="preserve">Preserved original anagram grouping logic; refactored function name to </t>
    </r>
    <r>
      <rPr>
        <sz val="10"/>
        <color theme="1"/>
        <rFont val="Arial Unicode MS"/>
      </rPr>
      <t>group_anagrams</t>
    </r>
    <r>
      <rPr>
        <sz val="11"/>
        <color theme="1"/>
        <rFont val="Calibri"/>
        <family val="2"/>
        <scheme val="minor"/>
      </rPr>
      <t>; included default wrapper for benchmarking; prints outputs for verification.</t>
    </r>
  </si>
  <si>
    <t>M5_Gemini</t>
  </si>
  <si>
    <r>
      <t xml:space="preserve">Preserved original min-heap kth largest logic; refactored function name to </t>
    </r>
    <r>
      <rPr>
        <sz val="10"/>
        <color theme="1"/>
        <rFont val="Arial Unicode MS"/>
      </rPr>
      <t>kth_largest</t>
    </r>
    <r>
      <rPr>
        <sz val="11"/>
        <color theme="1"/>
        <rFont val="Calibri"/>
        <family val="2"/>
        <scheme val="minor"/>
      </rPr>
      <t>; included wrapper for benchmarking; prints outputs for verification.</t>
    </r>
  </si>
  <si>
    <t>EDS_Score</t>
  </si>
  <si>
    <t>Tool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</si>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</sst>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opLeftCell="B59" workbookViewId="0">
      <selection activeCell="E67" sqref="E67"/>
    </sheetView>
  </sheetViews>
  <sheetFormatPr defaultRowHeight="14.4" x14ac:dyDescent="0.3"/>
  <cols>
    <col min="1" max="1" width="28.5546875" customWidth="1"/>
    <col min="2" max="2" width="34.6640625" customWidth="1"/>
    <col min="3" max="3" width="28.109375" customWidth="1"/>
    <col min="4" max="4" width="29.44140625" customWidth="1"/>
    <col min="5" max="5" width="40.6640625" customWidth="1"/>
    <col min="6" max="6" width="30.88671875" customWidth="1"/>
    <col min="7" max="7" width="32.5546875" customWidth="1"/>
    <col min="8" max="9" width="32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103</v>
      </c>
      <c r="H1" s="1" t="s">
        <v>6</v>
      </c>
      <c r="I1" s="1"/>
    </row>
    <row r="2" spans="1:9" ht="28.8" x14ac:dyDescent="0.3">
      <c r="A2" s="2" t="s">
        <v>7</v>
      </c>
      <c r="B2" s="2" t="s">
        <v>8</v>
      </c>
      <c r="C2" s="2">
        <v>0</v>
      </c>
      <c r="D2" s="2">
        <v>0</v>
      </c>
      <c r="E2" s="2">
        <v>0</v>
      </c>
      <c r="F2" s="2">
        <v>17</v>
      </c>
      <c r="G2" s="3">
        <f>(C2+D2+E2)/F2</f>
        <v>0</v>
      </c>
      <c r="H2" s="2" t="s">
        <v>9</v>
      </c>
      <c r="I2" s="3"/>
    </row>
    <row r="3" spans="1:9" ht="28.8" x14ac:dyDescent="0.3">
      <c r="A3" s="2" t="s">
        <v>10</v>
      </c>
      <c r="B3" s="2" t="s">
        <v>8</v>
      </c>
      <c r="C3" s="2">
        <v>5</v>
      </c>
      <c r="D3" s="2">
        <v>0</v>
      </c>
      <c r="E3" s="2">
        <v>0</v>
      </c>
      <c r="F3" s="2">
        <v>13</v>
      </c>
      <c r="G3" s="3">
        <f t="shared" ref="G3:G61" si="0">(C3+D3+E3)/F3</f>
        <v>0.38461538461538464</v>
      </c>
      <c r="H3" s="2" t="s">
        <v>11</v>
      </c>
      <c r="I3" s="3"/>
    </row>
    <row r="4" spans="1:9" ht="28.8" x14ac:dyDescent="0.3">
      <c r="A4" s="2" t="s">
        <v>12</v>
      </c>
      <c r="B4" s="2" t="s">
        <v>8</v>
      </c>
      <c r="C4" s="2">
        <v>5</v>
      </c>
      <c r="D4" s="2">
        <v>0</v>
      </c>
      <c r="E4" s="2">
        <v>0</v>
      </c>
      <c r="F4" s="2">
        <v>5</v>
      </c>
      <c r="G4" s="3">
        <f t="shared" si="0"/>
        <v>1</v>
      </c>
      <c r="H4" s="2" t="s">
        <v>11</v>
      </c>
      <c r="I4" s="3"/>
    </row>
    <row r="5" spans="1:9" ht="28.8" x14ac:dyDescent="0.3">
      <c r="A5" s="2" t="s">
        <v>13</v>
      </c>
      <c r="B5" s="2" t="s">
        <v>8</v>
      </c>
      <c r="C5" s="2">
        <v>12</v>
      </c>
      <c r="D5" s="2">
        <v>0</v>
      </c>
      <c r="E5" s="2">
        <v>0</v>
      </c>
      <c r="F5" s="2">
        <v>13</v>
      </c>
      <c r="G5" s="3">
        <f t="shared" si="0"/>
        <v>0.92307692307692313</v>
      </c>
      <c r="H5" s="2" t="s">
        <v>14</v>
      </c>
      <c r="I5" s="3"/>
    </row>
    <row r="6" spans="1:9" ht="28.8" x14ac:dyDescent="0.3">
      <c r="A6" s="2" t="s">
        <v>15</v>
      </c>
      <c r="B6" s="2" t="s">
        <v>8</v>
      </c>
      <c r="C6" s="2">
        <v>6</v>
      </c>
      <c r="D6" s="2">
        <v>0</v>
      </c>
      <c r="E6" s="2">
        <v>6</v>
      </c>
      <c r="F6" s="2">
        <v>13</v>
      </c>
      <c r="G6" s="3">
        <f t="shared" si="0"/>
        <v>0.92307692307692313</v>
      </c>
      <c r="H6" s="2" t="s">
        <v>16</v>
      </c>
      <c r="I6" s="3"/>
    </row>
    <row r="7" spans="1:9" ht="28.8" x14ac:dyDescent="0.3">
      <c r="A7" s="2" t="s">
        <v>17</v>
      </c>
      <c r="B7" s="2" t="s">
        <v>8</v>
      </c>
      <c r="C7" s="2">
        <v>25</v>
      </c>
      <c r="D7" s="2">
        <v>0</v>
      </c>
      <c r="E7" s="2">
        <v>2</v>
      </c>
      <c r="F7" s="2">
        <v>27</v>
      </c>
      <c r="G7" s="3">
        <f t="shared" si="0"/>
        <v>1</v>
      </c>
      <c r="H7" s="2" t="s">
        <v>18</v>
      </c>
      <c r="I7" s="3"/>
    </row>
    <row r="8" spans="1:9" ht="28.8" x14ac:dyDescent="0.3">
      <c r="A8" s="2" t="s">
        <v>19</v>
      </c>
      <c r="B8" s="2" t="s">
        <v>8</v>
      </c>
      <c r="C8" s="2">
        <v>30</v>
      </c>
      <c r="D8" s="2">
        <v>0</v>
      </c>
      <c r="E8" s="2">
        <v>5</v>
      </c>
      <c r="F8" s="2">
        <v>35</v>
      </c>
      <c r="G8" s="3">
        <f t="shared" si="0"/>
        <v>1</v>
      </c>
      <c r="H8" s="2" t="s">
        <v>20</v>
      </c>
      <c r="I8" s="3"/>
    </row>
    <row r="9" spans="1:9" ht="28.8" x14ac:dyDescent="0.3">
      <c r="A9" s="2" t="s">
        <v>21</v>
      </c>
      <c r="B9" s="2" t="s">
        <v>8</v>
      </c>
      <c r="C9" s="2">
        <v>15</v>
      </c>
      <c r="D9" s="2">
        <v>0</v>
      </c>
      <c r="E9" s="2">
        <v>2</v>
      </c>
      <c r="F9" s="2">
        <v>17</v>
      </c>
      <c r="G9" s="3">
        <f t="shared" si="0"/>
        <v>1</v>
      </c>
      <c r="H9" s="2" t="s">
        <v>22</v>
      </c>
      <c r="I9" s="3"/>
    </row>
    <row r="10" spans="1:9" ht="28.8" x14ac:dyDescent="0.3">
      <c r="A10" s="2" t="s">
        <v>23</v>
      </c>
      <c r="B10" s="2" t="s">
        <v>8</v>
      </c>
      <c r="C10" s="2">
        <v>10</v>
      </c>
      <c r="D10" s="2">
        <v>0</v>
      </c>
      <c r="E10" s="2">
        <v>2</v>
      </c>
      <c r="F10" s="2">
        <v>12</v>
      </c>
      <c r="G10" s="3">
        <f t="shared" si="0"/>
        <v>1</v>
      </c>
      <c r="H10" s="2" t="s">
        <v>24</v>
      </c>
      <c r="I10" s="3"/>
    </row>
    <row r="11" spans="1:9" ht="28.8" x14ac:dyDescent="0.3">
      <c r="A11" s="2" t="s">
        <v>25</v>
      </c>
      <c r="B11" s="2" t="s">
        <v>8</v>
      </c>
      <c r="C11" s="2">
        <v>8</v>
      </c>
      <c r="D11" s="2">
        <v>0</v>
      </c>
      <c r="E11" s="2">
        <v>1</v>
      </c>
      <c r="F11" s="2">
        <v>9</v>
      </c>
      <c r="G11" s="3">
        <f t="shared" si="0"/>
        <v>1</v>
      </c>
      <c r="H11" s="2" t="s">
        <v>26</v>
      </c>
      <c r="I11" s="3"/>
    </row>
    <row r="12" spans="1:9" ht="28.8" x14ac:dyDescent="0.3">
      <c r="A12" s="2" t="s">
        <v>27</v>
      </c>
      <c r="B12" s="2" t="s">
        <v>8</v>
      </c>
      <c r="C12" s="2">
        <v>4</v>
      </c>
      <c r="D12" s="2">
        <v>0</v>
      </c>
      <c r="E12" s="2">
        <v>0</v>
      </c>
      <c r="F12" s="2">
        <v>4</v>
      </c>
      <c r="G12" s="3">
        <f t="shared" si="0"/>
        <v>1</v>
      </c>
      <c r="H12" s="2" t="s">
        <v>28</v>
      </c>
      <c r="I12" s="3"/>
    </row>
    <row r="13" spans="1:9" ht="28.8" x14ac:dyDescent="0.3">
      <c r="A13" s="2" t="s">
        <v>29</v>
      </c>
      <c r="B13" s="2" t="s">
        <v>8</v>
      </c>
      <c r="C13" s="2">
        <v>12</v>
      </c>
      <c r="D13" s="2">
        <v>0</v>
      </c>
      <c r="E13" s="2">
        <v>0</v>
      </c>
      <c r="F13" s="2">
        <v>12</v>
      </c>
      <c r="G13" s="3">
        <f t="shared" si="0"/>
        <v>1</v>
      </c>
      <c r="H13" s="2" t="s">
        <v>28</v>
      </c>
      <c r="I13" s="3"/>
    </row>
    <row r="14" spans="1:9" ht="28.8" x14ac:dyDescent="0.3">
      <c r="A14" s="2" t="s">
        <v>30</v>
      </c>
      <c r="B14" s="2" t="s">
        <v>8</v>
      </c>
      <c r="C14" s="2">
        <v>10</v>
      </c>
      <c r="D14" s="2">
        <v>0</v>
      </c>
      <c r="E14" s="2">
        <v>0</v>
      </c>
      <c r="F14" s="2">
        <v>10</v>
      </c>
      <c r="G14" s="3">
        <f t="shared" si="0"/>
        <v>1</v>
      </c>
      <c r="H14" s="2" t="s">
        <v>28</v>
      </c>
      <c r="I14" s="3"/>
    </row>
    <row r="15" spans="1:9" ht="28.8" x14ac:dyDescent="0.3">
      <c r="A15" s="2" t="s">
        <v>31</v>
      </c>
      <c r="B15" s="2" t="s">
        <v>8</v>
      </c>
      <c r="C15" s="2">
        <v>0</v>
      </c>
      <c r="D15" s="2">
        <v>0</v>
      </c>
      <c r="E15" s="2">
        <v>0</v>
      </c>
      <c r="F15" s="2">
        <v>6</v>
      </c>
      <c r="G15" s="3">
        <f t="shared" si="0"/>
        <v>0</v>
      </c>
      <c r="H15" s="2" t="s">
        <v>28</v>
      </c>
      <c r="I15" s="3"/>
    </row>
    <row r="16" spans="1:9" ht="28.8" x14ac:dyDescent="0.3">
      <c r="A16" s="2" t="s">
        <v>32</v>
      </c>
      <c r="B16" s="2" t="s">
        <v>8</v>
      </c>
      <c r="C16" s="2">
        <v>5</v>
      </c>
      <c r="D16" s="2">
        <v>0</v>
      </c>
      <c r="E16" s="2">
        <v>0</v>
      </c>
      <c r="F16" s="2">
        <v>5</v>
      </c>
      <c r="G16" s="3">
        <f t="shared" si="0"/>
        <v>1</v>
      </c>
      <c r="H16" s="2" t="s">
        <v>28</v>
      </c>
      <c r="I16" s="3"/>
    </row>
    <row r="17" spans="1:9" ht="28.8" x14ac:dyDescent="0.3">
      <c r="A17" s="2" t="s">
        <v>33</v>
      </c>
      <c r="B17" s="2" t="s">
        <v>8</v>
      </c>
      <c r="C17" s="2">
        <v>5</v>
      </c>
      <c r="D17" s="2">
        <v>0</v>
      </c>
      <c r="E17" s="2">
        <v>0</v>
      </c>
      <c r="F17" s="2">
        <v>5</v>
      </c>
      <c r="G17" s="3">
        <f t="shared" si="0"/>
        <v>1</v>
      </c>
      <c r="H17" s="2" t="s">
        <v>34</v>
      </c>
      <c r="I17" s="3"/>
    </row>
    <row r="18" spans="1:9" ht="28.8" x14ac:dyDescent="0.3">
      <c r="A18" s="2" t="s">
        <v>35</v>
      </c>
      <c r="B18" s="2" t="s">
        <v>8</v>
      </c>
      <c r="C18" s="2">
        <v>12</v>
      </c>
      <c r="D18" s="2">
        <v>0</v>
      </c>
      <c r="E18" s="2">
        <v>0</v>
      </c>
      <c r="F18" s="2">
        <v>12</v>
      </c>
      <c r="G18" s="3">
        <f t="shared" si="0"/>
        <v>1</v>
      </c>
      <c r="H18" s="2" t="s">
        <v>36</v>
      </c>
      <c r="I18" s="3"/>
    </row>
    <row r="19" spans="1:9" ht="28.8" x14ac:dyDescent="0.3">
      <c r="A19" s="2" t="s">
        <v>37</v>
      </c>
      <c r="B19" s="2" t="s">
        <v>8</v>
      </c>
      <c r="C19" s="2">
        <v>12</v>
      </c>
      <c r="D19" s="2">
        <v>0</v>
      </c>
      <c r="E19" s="2">
        <v>0</v>
      </c>
      <c r="F19" s="2">
        <v>12</v>
      </c>
      <c r="G19" s="3">
        <f t="shared" si="0"/>
        <v>1</v>
      </c>
      <c r="H19" s="2" t="s">
        <v>38</v>
      </c>
      <c r="I19" s="3"/>
    </row>
    <row r="20" spans="1:9" ht="28.8" x14ac:dyDescent="0.3">
      <c r="A20" s="2" t="s">
        <v>39</v>
      </c>
      <c r="B20" s="2" t="s">
        <v>8</v>
      </c>
      <c r="C20" s="2">
        <v>10</v>
      </c>
      <c r="D20" s="2">
        <v>0</v>
      </c>
      <c r="E20" s="2">
        <v>0</v>
      </c>
      <c r="F20" s="2">
        <v>10</v>
      </c>
      <c r="G20" s="3">
        <f t="shared" si="0"/>
        <v>1</v>
      </c>
      <c r="H20" s="2" t="s">
        <v>40</v>
      </c>
      <c r="I20" s="3"/>
    </row>
    <row r="21" spans="1:9" x14ac:dyDescent="0.3">
      <c r="A21" s="2" t="s">
        <v>41</v>
      </c>
      <c r="B21" s="2" t="s">
        <v>8</v>
      </c>
      <c r="C21" s="2">
        <v>5</v>
      </c>
      <c r="D21" s="2">
        <v>0</v>
      </c>
      <c r="E21" s="2">
        <v>1</v>
      </c>
      <c r="F21" s="2">
        <v>6</v>
      </c>
      <c r="G21" s="3">
        <f t="shared" si="0"/>
        <v>1</v>
      </c>
      <c r="H21" s="2" t="s">
        <v>42</v>
      </c>
      <c r="I21" s="3"/>
    </row>
    <row r="22" spans="1:9" ht="43.2" x14ac:dyDescent="0.3">
      <c r="A22" s="2" t="s">
        <v>33</v>
      </c>
      <c r="B22" s="2" t="s">
        <v>47</v>
      </c>
      <c r="C22" s="2">
        <v>7</v>
      </c>
      <c r="D22" s="2">
        <v>0</v>
      </c>
      <c r="E22" s="2">
        <v>1</v>
      </c>
      <c r="F22" s="2">
        <v>43</v>
      </c>
      <c r="G22" s="3">
        <f t="shared" si="0"/>
        <v>0.18604651162790697</v>
      </c>
      <c r="H22" s="2" t="s">
        <v>43</v>
      </c>
      <c r="I22" s="3"/>
    </row>
    <row r="23" spans="1:9" x14ac:dyDescent="0.3">
      <c r="A23" s="2" t="s">
        <v>35</v>
      </c>
      <c r="B23" s="2" t="s">
        <v>47</v>
      </c>
      <c r="C23" s="2">
        <v>12</v>
      </c>
      <c r="D23" s="2">
        <v>0</v>
      </c>
      <c r="E23" s="2">
        <v>3</v>
      </c>
      <c r="F23" s="2">
        <v>68</v>
      </c>
      <c r="G23" s="3">
        <f t="shared" si="0"/>
        <v>0.22058823529411764</v>
      </c>
      <c r="H23" t="s">
        <v>44</v>
      </c>
      <c r="I23" s="3"/>
    </row>
    <row r="24" spans="1:9" ht="43.2" x14ac:dyDescent="0.3">
      <c r="A24" s="2" t="s">
        <v>37</v>
      </c>
      <c r="B24" s="2" t="s">
        <v>47</v>
      </c>
      <c r="C24" s="2">
        <v>7</v>
      </c>
      <c r="D24" s="2">
        <v>0</v>
      </c>
      <c r="E24" s="2">
        <v>1</v>
      </c>
      <c r="F24" s="2">
        <v>65</v>
      </c>
      <c r="G24" s="3">
        <f t="shared" si="0"/>
        <v>0.12307692307692308</v>
      </c>
      <c r="H24" s="2" t="s">
        <v>45</v>
      </c>
      <c r="I24" s="3"/>
    </row>
    <row r="25" spans="1:9" ht="43.2" x14ac:dyDescent="0.3">
      <c r="A25" s="2" t="s">
        <v>39</v>
      </c>
      <c r="B25" s="2" t="s">
        <v>47</v>
      </c>
      <c r="C25" s="2">
        <v>7</v>
      </c>
      <c r="D25" s="2">
        <v>0</v>
      </c>
      <c r="E25" s="2">
        <v>1</v>
      </c>
      <c r="F25" s="2">
        <v>85</v>
      </c>
      <c r="G25" s="3">
        <f t="shared" si="0"/>
        <v>9.4117647058823528E-2</v>
      </c>
      <c r="H25" s="2" t="s">
        <v>45</v>
      </c>
      <c r="I25" s="3"/>
    </row>
    <row r="26" spans="1:9" ht="43.2" x14ac:dyDescent="0.3">
      <c r="A26" s="2" t="s">
        <v>41</v>
      </c>
      <c r="B26" s="2" t="s">
        <v>47</v>
      </c>
      <c r="C26" s="2">
        <v>15</v>
      </c>
      <c r="D26" s="2">
        <v>12</v>
      </c>
      <c r="E26" s="2">
        <v>4</v>
      </c>
      <c r="F26" s="2">
        <v>90</v>
      </c>
      <c r="G26" s="3">
        <f t="shared" si="0"/>
        <v>0.34444444444444444</v>
      </c>
      <c r="H26" s="2" t="s">
        <v>46</v>
      </c>
      <c r="I26" s="3"/>
    </row>
    <row r="27" spans="1:9" ht="73.2" x14ac:dyDescent="0.3">
      <c r="A27" s="2" t="s">
        <v>7</v>
      </c>
      <c r="B27" s="2" t="s">
        <v>47</v>
      </c>
      <c r="C27" s="2">
        <v>12</v>
      </c>
      <c r="D27" s="2">
        <v>6</v>
      </c>
      <c r="E27" s="2">
        <v>5</v>
      </c>
      <c r="F27" s="2">
        <v>55</v>
      </c>
      <c r="G27" s="3">
        <f t="shared" si="0"/>
        <v>0.41818181818181815</v>
      </c>
      <c r="H27" s="2" t="s">
        <v>48</v>
      </c>
      <c r="I27" s="3"/>
    </row>
    <row r="28" spans="1:9" ht="58.2" x14ac:dyDescent="0.3">
      <c r="A28" s="2" t="s">
        <v>10</v>
      </c>
      <c r="B28" s="2" t="s">
        <v>47</v>
      </c>
      <c r="C28" s="2">
        <v>7</v>
      </c>
      <c r="D28" s="2">
        <v>0</v>
      </c>
      <c r="E28" s="2">
        <v>3</v>
      </c>
      <c r="F28" s="2">
        <v>35</v>
      </c>
      <c r="G28" s="3">
        <f t="shared" si="0"/>
        <v>0.2857142857142857</v>
      </c>
      <c r="H28" s="2" t="s">
        <v>49</v>
      </c>
      <c r="I28" s="3"/>
    </row>
    <row r="29" spans="1:9" ht="43.8" x14ac:dyDescent="0.3">
      <c r="A29" s="2" t="s">
        <v>12</v>
      </c>
      <c r="B29" s="2" t="s">
        <v>47</v>
      </c>
      <c r="C29" s="2">
        <v>6</v>
      </c>
      <c r="D29" s="2">
        <v>0</v>
      </c>
      <c r="E29" s="2">
        <v>3</v>
      </c>
      <c r="F29" s="2">
        <v>28</v>
      </c>
      <c r="G29" s="3">
        <f t="shared" si="0"/>
        <v>0.32142857142857145</v>
      </c>
      <c r="H29" s="2" t="s">
        <v>50</v>
      </c>
      <c r="I29" s="3"/>
    </row>
    <row r="30" spans="1:9" ht="43.8" x14ac:dyDescent="0.3">
      <c r="A30" s="2" t="s">
        <v>13</v>
      </c>
      <c r="B30" s="2" t="s">
        <v>47</v>
      </c>
      <c r="C30" s="2">
        <v>6</v>
      </c>
      <c r="D30" s="2">
        <v>0</v>
      </c>
      <c r="E30" s="2">
        <v>3</v>
      </c>
      <c r="F30" s="2">
        <v>40</v>
      </c>
      <c r="G30" s="3">
        <f t="shared" si="0"/>
        <v>0.22500000000000001</v>
      </c>
      <c r="H30" s="2" t="s">
        <v>51</v>
      </c>
      <c r="I30" s="3"/>
    </row>
    <row r="31" spans="1:9" ht="43.8" x14ac:dyDescent="0.3">
      <c r="A31" s="2" t="s">
        <v>15</v>
      </c>
      <c r="B31" s="2" t="s">
        <v>47</v>
      </c>
      <c r="C31" s="2">
        <v>8</v>
      </c>
      <c r="D31" s="2">
        <v>0</v>
      </c>
      <c r="E31" s="2">
        <v>4</v>
      </c>
      <c r="F31" s="2">
        <v>45</v>
      </c>
      <c r="G31" s="3">
        <f t="shared" si="0"/>
        <v>0.26666666666666666</v>
      </c>
      <c r="H31" s="2" t="s">
        <v>52</v>
      </c>
      <c r="I31" s="3"/>
    </row>
    <row r="32" spans="1:9" ht="72.599999999999994" x14ac:dyDescent="0.3">
      <c r="A32" s="2" t="s">
        <v>27</v>
      </c>
      <c r="B32" s="2" t="s">
        <v>47</v>
      </c>
      <c r="C32" s="2">
        <v>10</v>
      </c>
      <c r="D32" s="2">
        <v>0</v>
      </c>
      <c r="E32" s="2">
        <v>5</v>
      </c>
      <c r="F32" s="2">
        <v>60</v>
      </c>
      <c r="G32" s="3">
        <f t="shared" si="0"/>
        <v>0.25</v>
      </c>
      <c r="H32" s="2" t="s">
        <v>53</v>
      </c>
      <c r="I32" s="3"/>
    </row>
    <row r="33" spans="1:9" ht="73.2" x14ac:dyDescent="0.3">
      <c r="A33" s="2" t="s">
        <v>29</v>
      </c>
      <c r="B33" s="2" t="s">
        <v>47</v>
      </c>
      <c r="C33" s="2">
        <v>12</v>
      </c>
      <c r="D33" s="2">
        <v>0</v>
      </c>
      <c r="E33" s="2">
        <v>6</v>
      </c>
      <c r="F33" s="2">
        <v>70</v>
      </c>
      <c r="G33" s="3">
        <f t="shared" si="0"/>
        <v>0.25714285714285712</v>
      </c>
      <c r="H33" s="2" t="s">
        <v>54</v>
      </c>
      <c r="I33" s="3"/>
    </row>
    <row r="34" spans="1:9" ht="73.2" x14ac:dyDescent="0.3">
      <c r="A34" s="2" t="s">
        <v>30</v>
      </c>
      <c r="B34" s="2" t="s">
        <v>47</v>
      </c>
      <c r="C34" s="2">
        <v>14</v>
      </c>
      <c r="D34" s="2">
        <v>0</v>
      </c>
      <c r="E34" s="2">
        <v>8</v>
      </c>
      <c r="F34" s="2">
        <v>65</v>
      </c>
      <c r="G34" s="3">
        <f t="shared" si="0"/>
        <v>0.33846153846153848</v>
      </c>
      <c r="H34" s="2" t="s">
        <v>55</v>
      </c>
      <c r="I34" s="3"/>
    </row>
    <row r="35" spans="1:9" ht="73.2" x14ac:dyDescent="0.3">
      <c r="A35" s="2" t="s">
        <v>31</v>
      </c>
      <c r="B35" s="2" t="s">
        <v>47</v>
      </c>
      <c r="C35" s="2">
        <v>12</v>
      </c>
      <c r="D35" s="2">
        <v>0</v>
      </c>
      <c r="E35" s="2">
        <v>6</v>
      </c>
      <c r="F35" s="2">
        <v>60</v>
      </c>
      <c r="G35" s="3">
        <f t="shared" si="0"/>
        <v>0.3</v>
      </c>
      <c r="H35" s="2" t="s">
        <v>56</v>
      </c>
      <c r="I35" s="3"/>
    </row>
    <row r="36" spans="1:9" ht="58.2" x14ac:dyDescent="0.3">
      <c r="A36" s="2" t="s">
        <v>32</v>
      </c>
      <c r="B36" s="2" t="s">
        <v>47</v>
      </c>
      <c r="C36" s="2">
        <v>10</v>
      </c>
      <c r="D36" s="2">
        <v>0</v>
      </c>
      <c r="E36" s="2">
        <v>5</v>
      </c>
      <c r="F36" s="2">
        <v>50</v>
      </c>
      <c r="G36" s="3">
        <f t="shared" si="0"/>
        <v>0.3</v>
      </c>
      <c r="H36" s="2" t="s">
        <v>57</v>
      </c>
      <c r="I36" s="3"/>
    </row>
    <row r="37" spans="1:9" ht="72.599999999999994" x14ac:dyDescent="0.3">
      <c r="A37" s="2" t="s">
        <v>17</v>
      </c>
      <c r="B37" s="2" t="s">
        <v>47</v>
      </c>
      <c r="C37" s="2">
        <v>12</v>
      </c>
      <c r="D37" s="2">
        <v>0</v>
      </c>
      <c r="E37" s="2">
        <v>6</v>
      </c>
      <c r="F37" s="2">
        <v>55</v>
      </c>
      <c r="G37" s="3">
        <f t="shared" si="0"/>
        <v>0.32727272727272727</v>
      </c>
      <c r="H37" s="2" t="s">
        <v>58</v>
      </c>
      <c r="I37" s="3"/>
    </row>
    <row r="38" spans="1:9" ht="87" x14ac:dyDescent="0.3">
      <c r="A38" s="2" t="s">
        <v>19</v>
      </c>
      <c r="B38" s="2" t="s">
        <v>47</v>
      </c>
      <c r="C38" s="2">
        <v>15</v>
      </c>
      <c r="D38" s="2">
        <v>0</v>
      </c>
      <c r="E38" s="2">
        <v>7</v>
      </c>
      <c r="F38" s="2">
        <v>60</v>
      </c>
      <c r="G38" s="3">
        <f t="shared" si="0"/>
        <v>0.36666666666666664</v>
      </c>
      <c r="H38" s="2" t="s">
        <v>59</v>
      </c>
      <c r="I38" s="3"/>
    </row>
    <row r="39" spans="1:9" ht="87.6" x14ac:dyDescent="0.3">
      <c r="A39" s="2" t="s">
        <v>21</v>
      </c>
      <c r="B39" s="2" t="s">
        <v>47</v>
      </c>
      <c r="C39" s="2">
        <v>20</v>
      </c>
      <c r="D39" s="2">
        <v>0</v>
      </c>
      <c r="E39" s="2">
        <v>8</v>
      </c>
      <c r="F39" s="2">
        <v>65</v>
      </c>
      <c r="G39" s="3">
        <f t="shared" si="0"/>
        <v>0.43076923076923079</v>
      </c>
      <c r="H39" s="2" t="s">
        <v>60</v>
      </c>
      <c r="I39" s="3"/>
    </row>
    <row r="40" spans="1:9" ht="87.6" x14ac:dyDescent="0.3">
      <c r="A40" s="2" t="s">
        <v>23</v>
      </c>
      <c r="B40" s="2" t="s">
        <v>47</v>
      </c>
      <c r="C40" s="2">
        <v>15</v>
      </c>
      <c r="D40" s="2">
        <v>0</v>
      </c>
      <c r="E40" s="2">
        <v>6</v>
      </c>
      <c r="F40" s="2">
        <v>60</v>
      </c>
      <c r="G40" s="3">
        <f t="shared" si="0"/>
        <v>0.35</v>
      </c>
      <c r="H40" s="2" t="s">
        <v>61</v>
      </c>
      <c r="I40" s="3"/>
    </row>
    <row r="41" spans="1:9" ht="115.5" customHeight="1" x14ac:dyDescent="0.3">
      <c r="A41" s="2" t="s">
        <v>25</v>
      </c>
      <c r="B41" s="2" t="s">
        <v>47</v>
      </c>
      <c r="C41" s="2">
        <v>18</v>
      </c>
      <c r="D41" s="2">
        <v>0</v>
      </c>
      <c r="E41" s="2">
        <v>9</v>
      </c>
      <c r="F41" s="2">
        <v>72</v>
      </c>
      <c r="G41" s="3">
        <f t="shared" si="0"/>
        <v>0.375</v>
      </c>
      <c r="H41" s="2" t="s">
        <v>62</v>
      </c>
      <c r="I41" s="3"/>
    </row>
    <row r="42" spans="1:9" ht="88.2" x14ac:dyDescent="0.3">
      <c r="A42" s="2" t="s">
        <v>63</v>
      </c>
      <c r="B42" s="2" t="s">
        <v>64</v>
      </c>
      <c r="C42" s="2">
        <v>12</v>
      </c>
      <c r="D42" s="2">
        <v>0</v>
      </c>
      <c r="E42" s="2">
        <v>6</v>
      </c>
      <c r="F42" s="2">
        <v>61</v>
      </c>
      <c r="G42" s="3">
        <f t="shared" si="0"/>
        <v>0.29508196721311475</v>
      </c>
      <c r="H42" s="2" t="s">
        <v>65</v>
      </c>
      <c r="I42" s="3"/>
    </row>
    <row r="43" spans="1:9" ht="87" x14ac:dyDescent="0.3">
      <c r="A43" s="2" t="s">
        <v>66</v>
      </c>
      <c r="B43" s="2" t="s">
        <v>64</v>
      </c>
      <c r="C43" s="2">
        <v>12</v>
      </c>
      <c r="D43" s="2">
        <v>0</v>
      </c>
      <c r="E43" s="2">
        <v>4</v>
      </c>
      <c r="F43" s="2">
        <v>61</v>
      </c>
      <c r="G43" s="3">
        <f t="shared" si="0"/>
        <v>0.26229508196721313</v>
      </c>
      <c r="H43" s="2" t="s">
        <v>67</v>
      </c>
      <c r="I43" s="3"/>
    </row>
    <row r="44" spans="1:9" ht="73.2" x14ac:dyDescent="0.3">
      <c r="A44" s="2" t="s">
        <v>68</v>
      </c>
      <c r="B44" s="2" t="s">
        <v>64</v>
      </c>
      <c r="C44" s="2">
        <v>15</v>
      </c>
      <c r="D44" s="2">
        <v>0</v>
      </c>
      <c r="E44" s="2">
        <v>3</v>
      </c>
      <c r="F44" s="2">
        <v>65</v>
      </c>
      <c r="G44" s="3">
        <f t="shared" si="0"/>
        <v>0.27692307692307694</v>
      </c>
      <c r="H44" s="2" t="s">
        <v>69</v>
      </c>
      <c r="I44" s="3"/>
    </row>
    <row r="45" spans="1:9" ht="73.2" x14ac:dyDescent="0.3">
      <c r="A45" s="2" t="s">
        <v>70</v>
      </c>
      <c r="B45" s="2" t="s">
        <v>64</v>
      </c>
      <c r="C45" s="2">
        <v>12</v>
      </c>
      <c r="D45" s="2">
        <v>0</v>
      </c>
      <c r="E45" s="2">
        <v>2</v>
      </c>
      <c r="F45" s="2">
        <v>55</v>
      </c>
      <c r="G45" s="3">
        <f t="shared" si="0"/>
        <v>0.25454545454545452</v>
      </c>
      <c r="H45" s="2" t="s">
        <v>71</v>
      </c>
      <c r="I45" s="3"/>
    </row>
    <row r="46" spans="1:9" ht="87" x14ac:dyDescent="0.3">
      <c r="A46" s="2" t="s">
        <v>72</v>
      </c>
      <c r="B46" s="2" t="s">
        <v>64</v>
      </c>
      <c r="C46" s="2">
        <v>28</v>
      </c>
      <c r="D46" s="2">
        <v>0</v>
      </c>
      <c r="E46" s="2">
        <v>6</v>
      </c>
      <c r="F46" s="2">
        <v>73</v>
      </c>
      <c r="G46" s="3">
        <f t="shared" si="0"/>
        <v>0.46575342465753422</v>
      </c>
      <c r="H46" s="2" t="s">
        <v>73</v>
      </c>
      <c r="I46" s="3"/>
    </row>
    <row r="47" spans="1:9" ht="57.6" x14ac:dyDescent="0.3">
      <c r="A47" s="2" t="s">
        <v>74</v>
      </c>
      <c r="B47" s="2" t="s">
        <v>64</v>
      </c>
      <c r="C47" s="2">
        <v>20</v>
      </c>
      <c r="D47" s="2">
        <v>0</v>
      </c>
      <c r="E47" s="2">
        <v>5</v>
      </c>
      <c r="F47" s="2">
        <v>38</v>
      </c>
      <c r="G47" s="3">
        <f t="shared" si="0"/>
        <v>0.65789473684210531</v>
      </c>
      <c r="H47" s="2" t="s">
        <v>75</v>
      </c>
      <c r="I47" s="3"/>
    </row>
    <row r="48" spans="1:9" ht="86.4" x14ac:dyDescent="0.3">
      <c r="A48" s="2" t="s">
        <v>76</v>
      </c>
      <c r="B48" s="2" t="s">
        <v>64</v>
      </c>
      <c r="C48" s="2">
        <v>18</v>
      </c>
      <c r="D48" s="2">
        <v>0</v>
      </c>
      <c r="E48" s="2">
        <v>5</v>
      </c>
      <c r="F48" s="2">
        <v>36</v>
      </c>
      <c r="G48" s="3">
        <f t="shared" si="0"/>
        <v>0.63888888888888884</v>
      </c>
      <c r="H48" s="2" t="s">
        <v>77</v>
      </c>
      <c r="I48" s="3"/>
    </row>
    <row r="49" spans="1:9" ht="72" x14ac:dyDescent="0.3">
      <c r="A49" s="2" t="s">
        <v>78</v>
      </c>
      <c r="B49" s="2" t="s">
        <v>64</v>
      </c>
      <c r="C49" s="2">
        <v>15</v>
      </c>
      <c r="D49" s="2">
        <v>0</v>
      </c>
      <c r="E49" s="2">
        <v>5</v>
      </c>
      <c r="F49" s="2">
        <v>28</v>
      </c>
      <c r="G49" s="3">
        <f t="shared" si="0"/>
        <v>0.7142857142857143</v>
      </c>
      <c r="H49" s="2" t="s">
        <v>79</v>
      </c>
      <c r="I49" s="3"/>
    </row>
    <row r="50" spans="1:9" ht="72" x14ac:dyDescent="0.3">
      <c r="A50" s="2" t="s">
        <v>80</v>
      </c>
      <c r="B50" s="2" t="s">
        <v>64</v>
      </c>
      <c r="C50" s="2">
        <v>22</v>
      </c>
      <c r="D50" s="2">
        <v>0</v>
      </c>
      <c r="E50" s="2">
        <v>8</v>
      </c>
      <c r="F50" s="2">
        <v>48</v>
      </c>
      <c r="G50" s="3">
        <f t="shared" si="0"/>
        <v>0.625</v>
      </c>
      <c r="H50" s="2" t="s">
        <v>81</v>
      </c>
      <c r="I50" s="3"/>
    </row>
    <row r="51" spans="1:9" ht="72.599999999999994" x14ac:dyDescent="0.3">
      <c r="A51" s="2" t="s">
        <v>82</v>
      </c>
      <c r="B51" s="2" t="s">
        <v>64</v>
      </c>
      <c r="C51" s="2">
        <v>22</v>
      </c>
      <c r="D51" s="2">
        <v>0</v>
      </c>
      <c r="E51" s="2">
        <v>8</v>
      </c>
      <c r="F51" s="2">
        <v>40</v>
      </c>
      <c r="G51" s="3">
        <f t="shared" si="0"/>
        <v>0.75</v>
      </c>
      <c r="H51" s="2" t="s">
        <v>83</v>
      </c>
      <c r="I51" s="3"/>
    </row>
    <row r="52" spans="1:9" ht="86.4" x14ac:dyDescent="0.3">
      <c r="A52" s="2" t="s">
        <v>84</v>
      </c>
      <c r="B52" s="2" t="s">
        <v>64</v>
      </c>
      <c r="C52" s="2">
        <v>28</v>
      </c>
      <c r="D52" s="2">
        <v>0</v>
      </c>
      <c r="E52" s="2">
        <v>6</v>
      </c>
      <c r="F52" s="2">
        <v>64</v>
      </c>
      <c r="G52" s="3">
        <f t="shared" si="0"/>
        <v>0.53125</v>
      </c>
      <c r="H52" s="2" t="s">
        <v>85</v>
      </c>
      <c r="I52" s="3"/>
    </row>
    <row r="53" spans="1:9" ht="86.4" x14ac:dyDescent="0.3">
      <c r="A53" s="2" t="s">
        <v>86</v>
      </c>
      <c r="B53" s="2" t="s">
        <v>64</v>
      </c>
      <c r="C53" s="2">
        <v>22</v>
      </c>
      <c r="D53" s="2">
        <v>0</v>
      </c>
      <c r="E53" s="2">
        <v>4</v>
      </c>
      <c r="F53" s="2">
        <v>55</v>
      </c>
      <c r="G53" s="3">
        <f t="shared" si="0"/>
        <v>0.47272727272727272</v>
      </c>
      <c r="H53" s="2" t="s">
        <v>87</v>
      </c>
      <c r="I53" s="3"/>
    </row>
    <row r="54" spans="1:9" ht="86.4" x14ac:dyDescent="0.3">
      <c r="A54" s="2" t="s">
        <v>88</v>
      </c>
      <c r="B54" s="2" t="s">
        <v>64</v>
      </c>
      <c r="C54" s="2">
        <v>15</v>
      </c>
      <c r="D54" s="2">
        <v>0</v>
      </c>
      <c r="E54" s="2">
        <v>4</v>
      </c>
      <c r="F54" s="2">
        <v>45</v>
      </c>
      <c r="G54" s="3">
        <f t="shared" si="0"/>
        <v>0.42222222222222222</v>
      </c>
      <c r="H54" s="2" t="s">
        <v>89</v>
      </c>
      <c r="I54" s="3"/>
    </row>
    <row r="55" spans="1:9" ht="86.4" x14ac:dyDescent="0.3">
      <c r="A55" s="2" t="s">
        <v>90</v>
      </c>
      <c r="B55" s="2" t="s">
        <v>64</v>
      </c>
      <c r="C55" s="2">
        <v>12</v>
      </c>
      <c r="D55" s="2">
        <v>0</v>
      </c>
      <c r="E55" s="2">
        <v>4</v>
      </c>
      <c r="F55" s="2">
        <v>38</v>
      </c>
      <c r="G55" s="3">
        <f t="shared" si="0"/>
        <v>0.42105263157894735</v>
      </c>
      <c r="H55" s="2" t="s">
        <v>91</v>
      </c>
      <c r="I55" s="3"/>
    </row>
    <row r="56" spans="1:9" ht="86.4" x14ac:dyDescent="0.3">
      <c r="A56" s="2" t="s">
        <v>92</v>
      </c>
      <c r="B56" s="2" t="s">
        <v>64</v>
      </c>
      <c r="C56" s="2">
        <v>12</v>
      </c>
      <c r="D56" s="2">
        <v>0</v>
      </c>
      <c r="E56" s="2">
        <v>4</v>
      </c>
      <c r="F56" s="2">
        <v>38</v>
      </c>
      <c r="G56" s="3">
        <f t="shared" si="0"/>
        <v>0.42105263157894735</v>
      </c>
      <c r="H56" s="2" t="s">
        <v>91</v>
      </c>
      <c r="I56" s="3"/>
    </row>
    <row r="57" spans="1:9" ht="86.4" x14ac:dyDescent="0.3">
      <c r="A57" s="2" t="s">
        <v>93</v>
      </c>
      <c r="B57" s="2" t="s">
        <v>64</v>
      </c>
      <c r="C57" s="2">
        <v>18</v>
      </c>
      <c r="D57" s="2">
        <v>0</v>
      </c>
      <c r="E57" s="2">
        <v>5</v>
      </c>
      <c r="F57" s="2">
        <v>42</v>
      </c>
      <c r="G57" s="3">
        <f t="shared" si="0"/>
        <v>0.54761904761904767</v>
      </c>
      <c r="H57" s="2" t="s">
        <v>94</v>
      </c>
      <c r="I57" s="3"/>
    </row>
    <row r="58" spans="1:9" ht="101.4" x14ac:dyDescent="0.3">
      <c r="A58" s="2" t="s">
        <v>95</v>
      </c>
      <c r="B58" s="2" t="s">
        <v>64</v>
      </c>
      <c r="C58" s="2">
        <v>16</v>
      </c>
      <c r="D58" s="2">
        <v>0</v>
      </c>
      <c r="E58" s="2">
        <v>6</v>
      </c>
      <c r="F58" s="2">
        <v>38</v>
      </c>
      <c r="G58" s="3">
        <f t="shared" si="0"/>
        <v>0.57894736842105265</v>
      </c>
      <c r="H58" s="2" t="s">
        <v>96</v>
      </c>
      <c r="I58" s="3"/>
    </row>
    <row r="59" spans="1:9" ht="102" x14ac:dyDescent="0.3">
      <c r="A59" s="2" t="s">
        <v>97</v>
      </c>
      <c r="B59" s="2" t="s">
        <v>64</v>
      </c>
      <c r="C59" s="2">
        <v>18</v>
      </c>
      <c r="D59" s="2">
        <v>0</v>
      </c>
      <c r="E59" s="2">
        <v>6</v>
      </c>
      <c r="F59" s="2">
        <v>38</v>
      </c>
      <c r="G59" s="3">
        <f t="shared" si="0"/>
        <v>0.63157894736842102</v>
      </c>
      <c r="H59" s="2" t="s">
        <v>98</v>
      </c>
      <c r="I59" s="3"/>
    </row>
    <row r="60" spans="1:9" ht="72.599999999999994" x14ac:dyDescent="0.3">
      <c r="A60" s="2" t="s">
        <v>99</v>
      </c>
      <c r="B60" s="2" t="s">
        <v>64</v>
      </c>
      <c r="C60" s="2">
        <v>10</v>
      </c>
      <c r="D60" s="2">
        <v>0</v>
      </c>
      <c r="E60" s="2">
        <v>4</v>
      </c>
      <c r="F60" s="2">
        <v>24</v>
      </c>
      <c r="G60" s="3">
        <f t="shared" si="0"/>
        <v>0.58333333333333337</v>
      </c>
      <c r="H60" s="2" t="s">
        <v>100</v>
      </c>
      <c r="I60" s="3"/>
    </row>
    <row r="61" spans="1:9" ht="72.599999999999994" x14ac:dyDescent="0.3">
      <c r="A61" s="2" t="s">
        <v>101</v>
      </c>
      <c r="B61" s="2" t="s">
        <v>64</v>
      </c>
      <c r="C61" s="2">
        <v>8</v>
      </c>
      <c r="D61" s="2">
        <v>0</v>
      </c>
      <c r="E61" s="2">
        <v>3</v>
      </c>
      <c r="F61" s="2">
        <v>21</v>
      </c>
      <c r="G61" s="3">
        <f t="shared" si="0"/>
        <v>0.52380952380952384</v>
      </c>
      <c r="H61" s="2" t="s">
        <v>102</v>
      </c>
      <c r="I6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5" sqref="D5"/>
    </sheetView>
  </sheetViews>
  <sheetFormatPr defaultRowHeight="14.4" x14ac:dyDescent="0.3"/>
  <sheetData>
    <row r="1" spans="1:5" x14ac:dyDescent="0.3">
      <c r="A1" t="s">
        <v>104</v>
      </c>
      <c r="B1" t="s">
        <v>105</v>
      </c>
      <c r="C1" t="s">
        <v>106</v>
      </c>
      <c r="D1" t="s">
        <v>107</v>
      </c>
    </row>
    <row r="2" spans="1:5" x14ac:dyDescent="0.3">
      <c r="A2" t="s">
        <v>8</v>
      </c>
      <c r="B2" s="4">
        <f>AVERAGE(Raw_Data!G2:G21)</f>
        <v>0.86153846153846148</v>
      </c>
      <c r="C2" s="4">
        <f>MEDIAN(Raw_Data!G2:G21)</f>
        <v>1</v>
      </c>
      <c r="D2" s="4">
        <f>_xlfn.STDEV.S(Raw_Data!G2:G21)</f>
        <v>0.3250182660224028</v>
      </c>
      <c r="E2" s="4"/>
    </row>
    <row r="3" spans="1:5" x14ac:dyDescent="0.3">
      <c r="A3" t="s">
        <v>47</v>
      </c>
      <c r="B3" s="4">
        <f>AVERAGE(Raw_Data!G22:G41)</f>
        <v>0.28902890619032884</v>
      </c>
      <c r="C3" s="4">
        <f>MEDIAN(Raw_Data!G22:G41)</f>
        <v>0.3</v>
      </c>
      <c r="D3" s="4">
        <f>_xlfn.STDEV.S(Raw_Data!G22:G41)</f>
        <v>8.8895306830940032E-2</v>
      </c>
      <c r="E3" s="4"/>
    </row>
    <row r="4" spans="1:5" x14ac:dyDescent="0.3">
      <c r="A4" t="s">
        <v>64</v>
      </c>
      <c r="B4" s="4">
        <f>AVERAGE(Raw_Data!G42:G61)</f>
        <v>0.50371306619909351</v>
      </c>
      <c r="C4" s="4">
        <f>MEDIAN(Raw_Data!G42:G61)</f>
        <v>0.52752976190476186</v>
      </c>
      <c r="D4" s="4">
        <f>_xlfn.STDEV.S(Raw_Data!G42:G61)</f>
        <v>0.15065250079410519</v>
      </c>
      <c r="E4" s="4"/>
    </row>
    <row r="5" spans="1:5" x14ac:dyDescent="0.3">
      <c r="B5" s="4"/>
      <c r="C5" s="4"/>
      <c r="D5" s="4"/>
      <c r="E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8801306653486</cp:lastModifiedBy>
  <dcterms:created xsi:type="dcterms:W3CDTF">2025-12-15T06:02:40Z</dcterms:created>
  <dcterms:modified xsi:type="dcterms:W3CDTF">2025-12-20T21:20:43Z</dcterms:modified>
</cp:coreProperties>
</file>